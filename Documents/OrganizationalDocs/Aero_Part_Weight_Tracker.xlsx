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ight Tracker" sheetId="1" state="visible" r:id="rId3"/>
  </sheets>
  <definedNames>
    <definedName function="false" hidden="true" localSheetId="0" name="_xlnm._FilterDatabase" vbProcedure="false">'Weight Tracker'!$A$4:$I$44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<sst xmlns="http://schemas.openxmlformats.org/spreadsheetml/2006/main" count="30" uniqueCount="28">
  <si>
    <t xml:space="preserve">RAMRACING FORMULA SAE — AERO PART WEIGHT TRACKER</t>
  </si>
  <si>
    <t xml:space="preserve">Legend:  Blue text = you fill in   |   Black text = calculated automatically   |   Row 5 is an example — overwrite or delete it.</t>
  </si>
  <si>
    <t xml:space="preserve">Subsystem</t>
  </si>
  <si>
    <t xml:space="preserve">Part Name</t>
  </si>
  <si>
    <t xml:space="preserve">Material</t>
  </si>
  <si>
    <t xml:space="preserve">Target Weight (g)</t>
  </si>
  <si>
    <t xml:space="preserve">Actual Weight (g)</t>
  </si>
  <si>
    <t xml:space="preserve">Delta (g)</t>
  </si>
  <si>
    <t xml:space="preserve">Date Weighed</t>
  </si>
  <si>
    <t xml:space="preserve">Weighed By</t>
  </si>
  <si>
    <t xml:space="preserve">Notes</t>
  </si>
  <si>
    <t xml:space="preserve">Undertray</t>
  </si>
  <si>
    <t xml:space="preserve">Undertray Panel V4.5.3</t>
  </si>
  <si>
    <t xml:space="preserve">Carbon Fiber / Nomex Core</t>
  </si>
  <si>
    <t xml:space="preserve">2026-03-14</t>
  </si>
  <si>
    <t xml:space="preserve">J. Hayes</t>
  </si>
  <si>
    <t xml:space="preserve">First article, slightly over target</t>
  </si>
  <si>
    <t xml:space="preserve">SUMMARY BY SUBSYSTEM</t>
  </si>
  <si>
    <t xml:space="preserve">Target Total (g)</t>
  </si>
  <si>
    <t xml:space="preserve">Actual Total (g)</t>
  </si>
  <si>
    <t xml:space="preserve">Delta Total (g)</t>
  </si>
  <si>
    <t xml:space="preserve">Front Wing</t>
  </si>
  <si>
    <t xml:space="preserve">Rear Wing</t>
  </si>
  <si>
    <t xml:space="preserve">Diffuser</t>
  </si>
  <si>
    <t xml:space="preserve">Endplates / Winglets</t>
  </si>
  <si>
    <t xml:space="preserve">Mounting &amp; Hardware</t>
  </si>
  <si>
    <t xml:space="preserve">Other</t>
  </si>
  <si>
    <t xml:space="preserve">GRAND 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</si>
</sst>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8.5"/>
      <color rgb="FF75757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757575"/>
      <name val="Arial"/>
      <family val="0"/>
      <charset val="1"/>
    </font>
    <font>
      <i val="true"/>
      <sz val="9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1E4D2B"/>
      <name val="Arial"/>
      <family val="0"/>
      <charset val="1"/>
    </font>
    <font>
      <sz val="9"/>
      <name val="Arial"/>
      <family val="0"/>
      <charset val="1"/>
    </font>
    <font>
      <b val="true"/>
      <sz val="9.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4D2B"/>
        <bgColor rgb="FF333300"/>
      </patternFill>
    </fill>
    <fill>
      <patternFill patternType="solid">
        <fgColor rgb="FFE8EEEA"/>
        <bgColor rgb="FFD6E4DB"/>
      </patternFill>
    </fill>
    <fill>
      <patternFill patternType="solid">
        <fgColor rgb="FFD6E4DB"/>
        <bgColor rgb="FFE8EEE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0B4B8"/>
      </left>
      <right style="thin">
        <color rgb="FFB0B4B8"/>
      </right>
      <top style="thin">
        <color rgb="FFB0B4B8"/>
      </top>
      <bottom style="thin">
        <color rgb="FFB0B4B8"/>
      </bottom>
      <diagonal/>
    </border>
    <border diagonalUp="false" diagonalDown="false">
      <left style="thin">
        <color rgb="FFB0B4B8"/>
      </left>
      <right style="thin">
        <color rgb="FFB0B4B8"/>
      </right>
      <top style="double"/>
      <bottom style="thin">
        <color rgb="FFB0B4B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E4D2B"/>
          <bgColor rgb="FF000000"/>
        </patternFill>
      </fill>
    </dxf>
    <dxf>
      <fill>
        <patternFill patternType="solid">
          <fgColor rgb="FFE8EEE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75757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4B8"/>
      <rgbColor rgb="FF757575"/>
      <rgbColor rgb="FF9999FF"/>
      <rgbColor rgb="FF993366"/>
      <rgbColor rgb="FFE8EEE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E4D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4D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32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s">
        <v>11</v>
      </c>
      <c r="B5" s="4" t="s">
        <v>12</v>
      </c>
      <c r="C5" s="4" t="s">
        <v>13</v>
      </c>
      <c r="D5" s="5" t="n">
        <v>1450</v>
      </c>
      <c r="E5" s="5" t="n">
        <v>1512</v>
      </c>
      <c r="F5" s="6" t="n">
        <f aca="false">IF(AND(D5="",E5=""),"",IF(OR(D5="",E5=""),"",E5-D5))</f>
        <v>62</v>
      </c>
      <c r="G5" s="4" t="s">
        <v>14</v>
      </c>
      <c r="H5" s="4" t="s">
        <v>15</v>
      </c>
      <c r="I5" s="4" t="s">
        <v>16</v>
      </c>
    </row>
    <row r="6" customFormat="false" ht="15" hidden="false" customHeight="false" outlineLevel="0" collapsed="false">
      <c r="A6" s="7"/>
      <c r="B6" s="7"/>
      <c r="C6" s="7"/>
      <c r="D6" s="8"/>
      <c r="E6" s="8"/>
      <c r="F6" s="9" t="str">
        <f aca="false">IF(AND(D6="",E6=""),"",IF(OR(D6="",E6=""),"",E6-D6))</f>
        <v/>
      </c>
      <c r="G6" s="7"/>
      <c r="H6" s="7"/>
      <c r="I6" s="7"/>
    </row>
    <row r="7" customFormat="false" ht="15" hidden="false" customHeight="false" outlineLevel="0" collapsed="false">
      <c r="A7" s="10"/>
      <c r="B7" s="10"/>
      <c r="C7" s="10"/>
      <c r="D7" s="11"/>
      <c r="E7" s="11"/>
      <c r="F7" s="12" t="str">
        <f aca="false">IF(AND(D7="",E7=""),"",IF(OR(D7="",E7=""),"",E7-D7))</f>
        <v/>
      </c>
      <c r="G7" s="10"/>
      <c r="H7" s="10"/>
      <c r="I7" s="10"/>
    </row>
    <row r="8" customFormat="false" ht="15" hidden="false" customHeight="false" outlineLevel="0" collapsed="false">
      <c r="A8" s="7"/>
      <c r="B8" s="7"/>
      <c r="C8" s="7"/>
      <c r="D8" s="8"/>
      <c r="E8" s="8"/>
      <c r="F8" s="9" t="str">
        <f aca="false">IF(AND(D8="",E8=""),"",IF(OR(D8="",E8=""),"",E8-D8))</f>
        <v/>
      </c>
      <c r="G8" s="7"/>
      <c r="H8" s="7"/>
      <c r="I8" s="7"/>
    </row>
    <row r="9" customFormat="false" ht="15" hidden="false" customHeight="false" outlineLevel="0" collapsed="false">
      <c r="A9" s="10"/>
      <c r="B9" s="10"/>
      <c r="C9" s="10"/>
      <c r="D9" s="11"/>
      <c r="E9" s="11"/>
      <c r="F9" s="12" t="str">
        <f aca="false">IF(AND(D9="",E9=""),"",IF(OR(D9="",E9=""),"",E9-D9))</f>
        <v/>
      </c>
      <c r="G9" s="10"/>
      <c r="H9" s="10"/>
      <c r="I9" s="10"/>
    </row>
    <row r="10" customFormat="false" ht="15" hidden="false" customHeight="false" outlineLevel="0" collapsed="false">
      <c r="A10" s="7"/>
      <c r="B10" s="7"/>
      <c r="C10" s="7"/>
      <c r="D10" s="8"/>
      <c r="E10" s="8"/>
      <c r="F10" s="9" t="str">
        <f aca="false">IF(AND(D10="",E10=""),"",IF(OR(D10="",E10=""),"",E10-D10))</f>
        <v/>
      </c>
      <c r="G10" s="7"/>
      <c r="H10" s="7"/>
      <c r="I10" s="7"/>
    </row>
    <row r="11" customFormat="false" ht="15" hidden="false" customHeight="false" outlineLevel="0" collapsed="false">
      <c r="A11" s="10"/>
      <c r="B11" s="10"/>
      <c r="C11" s="10"/>
      <c r="D11" s="11"/>
      <c r="E11" s="11"/>
      <c r="F11" s="12" t="str">
        <f aca="false">IF(AND(D11="",E11=""),"",IF(OR(D11="",E11=""),"",E11-D11))</f>
        <v/>
      </c>
      <c r="G11" s="10"/>
      <c r="H11" s="10"/>
      <c r="I11" s="10"/>
    </row>
    <row r="12" customFormat="false" ht="15" hidden="false" customHeight="false" outlineLevel="0" collapsed="false">
      <c r="A12" s="7"/>
      <c r="B12" s="7"/>
      <c r="C12" s="7"/>
      <c r="D12" s="8"/>
      <c r="E12" s="8"/>
      <c r="F12" s="9" t="str">
        <f aca="false">IF(AND(D12="",E12=""),"",IF(OR(D12="",E12=""),"",E12-D12))</f>
        <v/>
      </c>
      <c r="G12" s="7"/>
      <c r="H12" s="7"/>
      <c r="I12" s="7"/>
    </row>
    <row r="13" customFormat="false" ht="15" hidden="false" customHeight="false" outlineLevel="0" collapsed="false">
      <c r="A13" s="10"/>
      <c r="B13" s="10"/>
      <c r="C13" s="10"/>
      <c r="D13" s="11"/>
      <c r="E13" s="11"/>
      <c r="F13" s="12" t="str">
        <f aca="false">IF(AND(D13="",E13=""),"",IF(OR(D13="",E13=""),"",E13-D13))</f>
        <v/>
      </c>
      <c r="G13" s="10"/>
      <c r="H13" s="10"/>
      <c r="I13" s="10"/>
    </row>
    <row r="14" customFormat="false" ht="15" hidden="false" customHeight="false" outlineLevel="0" collapsed="false">
      <c r="A14" s="7"/>
      <c r="B14" s="7"/>
      <c r="C14" s="7"/>
      <c r="D14" s="8"/>
      <c r="E14" s="8"/>
      <c r="F14" s="9" t="str">
        <f aca="false">IF(AND(D14="",E14=""),"",IF(OR(D14="",E14=""),"",E14-D14))</f>
        <v/>
      </c>
      <c r="G14" s="7"/>
      <c r="H14" s="7"/>
      <c r="I14" s="7"/>
    </row>
    <row r="15" customFormat="false" ht="15" hidden="false" customHeight="false" outlineLevel="0" collapsed="false">
      <c r="A15" s="10"/>
      <c r="B15" s="10"/>
      <c r="C15" s="10"/>
      <c r="D15" s="11"/>
      <c r="E15" s="11"/>
      <c r="F15" s="12" t="str">
        <f aca="false">IF(AND(D15="",E15=""),"",IF(OR(D15="",E15=""),"",E15-D15))</f>
        <v/>
      </c>
      <c r="G15" s="10"/>
      <c r="H15" s="10"/>
      <c r="I15" s="10"/>
    </row>
    <row r="16" customFormat="false" ht="15" hidden="false" customHeight="false" outlineLevel="0" collapsed="false">
      <c r="A16" s="7"/>
      <c r="B16" s="7"/>
      <c r="C16" s="7"/>
      <c r="D16" s="8"/>
      <c r="E16" s="8"/>
      <c r="F16" s="9" t="str">
        <f aca="false">IF(AND(D16="",E16=""),"",IF(OR(D16="",E16=""),"",E16-D16))</f>
        <v/>
      </c>
      <c r="G16" s="7"/>
      <c r="H16" s="7"/>
      <c r="I16" s="7"/>
    </row>
    <row r="17" customFormat="false" ht="15" hidden="false" customHeight="false" outlineLevel="0" collapsed="false">
      <c r="A17" s="10"/>
      <c r="B17" s="10"/>
      <c r="C17" s="10"/>
      <c r="D17" s="11"/>
      <c r="E17" s="11"/>
      <c r="F17" s="12" t="str">
        <f aca="false">IF(AND(D17="",E17=""),"",IF(OR(D17="",E17=""),"",E17-D17))</f>
        <v/>
      </c>
      <c r="G17" s="10"/>
      <c r="H17" s="10"/>
      <c r="I17" s="10"/>
    </row>
    <row r="18" customFormat="false" ht="15" hidden="false" customHeight="false" outlineLevel="0" collapsed="false">
      <c r="A18" s="7"/>
      <c r="B18" s="7"/>
      <c r="C18" s="7"/>
      <c r="D18" s="8"/>
      <c r="E18" s="8"/>
      <c r="F18" s="9" t="str">
        <f aca="false">IF(AND(D18="",E18=""),"",IF(OR(D18="",E18=""),"",E18-D18))</f>
        <v/>
      </c>
      <c r="G18" s="7"/>
      <c r="H18" s="7"/>
      <c r="I18" s="7"/>
    </row>
    <row r="19" customFormat="false" ht="15" hidden="false" customHeight="false" outlineLevel="0" collapsed="false">
      <c r="A19" s="10"/>
      <c r="B19" s="10"/>
      <c r="C19" s="10"/>
      <c r="D19" s="11"/>
      <c r="E19" s="11"/>
      <c r="F19" s="12" t="str">
        <f aca="false">IF(AND(D19="",E19=""),"",IF(OR(D19="",E19=""),"",E19-D19))</f>
        <v/>
      </c>
      <c r="G19" s="10"/>
      <c r="H19" s="10"/>
      <c r="I19" s="10"/>
    </row>
    <row r="20" customFormat="false" ht="15" hidden="false" customHeight="false" outlineLevel="0" collapsed="false">
      <c r="A20" s="7"/>
      <c r="B20" s="7"/>
      <c r="C20" s="7"/>
      <c r="D20" s="8"/>
      <c r="E20" s="8"/>
      <c r="F20" s="9" t="str">
        <f aca="false">IF(AND(D20="",E20=""),"",IF(OR(D20="",E20=""),"",E20-D20))</f>
        <v/>
      </c>
      <c r="G20" s="7"/>
      <c r="H20" s="7"/>
      <c r="I20" s="7"/>
    </row>
    <row r="21" customFormat="false" ht="15" hidden="false" customHeight="false" outlineLevel="0" collapsed="false">
      <c r="A21" s="10"/>
      <c r="B21" s="10"/>
      <c r="C21" s="10"/>
      <c r="D21" s="11"/>
      <c r="E21" s="11"/>
      <c r="F21" s="12" t="str">
        <f aca="false">IF(AND(D21="",E21=""),"",IF(OR(D21="",E21=""),"",E21-D21))</f>
        <v/>
      </c>
      <c r="G21" s="10"/>
      <c r="H21" s="10"/>
      <c r="I21" s="10"/>
    </row>
    <row r="22" customFormat="false" ht="15" hidden="false" customHeight="false" outlineLevel="0" collapsed="false">
      <c r="A22" s="7"/>
      <c r="B22" s="7"/>
      <c r="C22" s="7"/>
      <c r="D22" s="8"/>
      <c r="E22" s="8"/>
      <c r="F22" s="9" t="str">
        <f aca="false">IF(AND(D22="",E22=""),"",IF(OR(D22="",E22=""),"",E22-D22))</f>
        <v/>
      </c>
      <c r="G22" s="7"/>
      <c r="H22" s="7"/>
      <c r="I22" s="7"/>
    </row>
    <row r="23" customFormat="false" ht="15" hidden="false" customHeight="false" outlineLevel="0" collapsed="false">
      <c r="A23" s="10"/>
      <c r="B23" s="10"/>
      <c r="C23" s="10"/>
      <c r="D23" s="11"/>
      <c r="E23" s="11"/>
      <c r="F23" s="12" t="str">
        <f aca="false">IF(AND(D23="",E23=""),"",IF(OR(D23="",E23=""),"",E23-D23))</f>
        <v/>
      </c>
      <c r="G23" s="10"/>
      <c r="H23" s="10"/>
      <c r="I23" s="10"/>
    </row>
    <row r="24" customFormat="false" ht="15" hidden="false" customHeight="false" outlineLevel="0" collapsed="false">
      <c r="A24" s="7"/>
      <c r="B24" s="7"/>
      <c r="C24" s="7"/>
      <c r="D24" s="8"/>
      <c r="E24" s="8"/>
      <c r="F24" s="9" t="str">
        <f aca="false">IF(AND(D24="",E24=""),"",IF(OR(D24="",E24=""),"",E24-D24))</f>
        <v/>
      </c>
      <c r="G24" s="7"/>
      <c r="H24" s="7"/>
      <c r="I24" s="7"/>
    </row>
    <row r="25" customFormat="false" ht="15" hidden="false" customHeight="false" outlineLevel="0" collapsed="false">
      <c r="A25" s="10"/>
      <c r="B25" s="10"/>
      <c r="C25" s="10"/>
      <c r="D25" s="11"/>
      <c r="E25" s="11"/>
      <c r="F25" s="12" t="str">
        <f aca="false">IF(AND(D25="",E25=""),"",IF(OR(D25="",E25=""),"",E25-D25))</f>
        <v/>
      </c>
      <c r="G25" s="10"/>
      <c r="H25" s="10"/>
      <c r="I25" s="10"/>
    </row>
    <row r="26" customFormat="false" ht="15" hidden="false" customHeight="false" outlineLevel="0" collapsed="false">
      <c r="A26" s="7"/>
      <c r="B26" s="7"/>
      <c r="C26" s="7"/>
      <c r="D26" s="8"/>
      <c r="E26" s="8"/>
      <c r="F26" s="9" t="str">
        <f aca="false">IF(AND(D26="",E26=""),"",IF(OR(D26="",E26=""),"",E26-D26))</f>
        <v/>
      </c>
      <c r="G26" s="7"/>
      <c r="H26" s="7"/>
      <c r="I26" s="7"/>
    </row>
    <row r="27" customFormat="false" ht="15" hidden="false" customHeight="false" outlineLevel="0" collapsed="false">
      <c r="A27" s="10"/>
      <c r="B27" s="10"/>
      <c r="C27" s="10"/>
      <c r="D27" s="11"/>
      <c r="E27" s="11"/>
      <c r="F27" s="12" t="str">
        <f aca="false">IF(AND(D27="",E27=""),"",IF(OR(D27="",E27=""),"",E27-D27))</f>
        <v/>
      </c>
      <c r="G27" s="10"/>
      <c r="H27" s="10"/>
      <c r="I27" s="10"/>
    </row>
    <row r="28" customFormat="false" ht="15" hidden="false" customHeight="false" outlineLevel="0" collapsed="false">
      <c r="A28" s="7"/>
      <c r="B28" s="7"/>
      <c r="C28" s="7"/>
      <c r="D28" s="8"/>
      <c r="E28" s="8"/>
      <c r="F28" s="9" t="str">
        <f aca="false">IF(AND(D28="",E28=""),"",IF(OR(D28="",E28=""),"",E28-D28))</f>
        <v/>
      </c>
      <c r="G28" s="7"/>
      <c r="H28" s="7"/>
      <c r="I28" s="7"/>
    </row>
    <row r="29" customFormat="false" ht="15" hidden="false" customHeight="false" outlineLevel="0" collapsed="false">
      <c r="A29" s="10"/>
      <c r="B29" s="10"/>
      <c r="C29" s="10"/>
      <c r="D29" s="11"/>
      <c r="E29" s="11"/>
      <c r="F29" s="12" t="str">
        <f aca="false">IF(AND(D29="",E29=""),"",IF(OR(D29="",E29=""),"",E29-D29))</f>
        <v/>
      </c>
      <c r="G29" s="10"/>
      <c r="H29" s="10"/>
      <c r="I29" s="10"/>
    </row>
    <row r="30" customFormat="false" ht="15" hidden="false" customHeight="false" outlineLevel="0" collapsed="false">
      <c r="A30" s="7"/>
      <c r="B30" s="7"/>
      <c r="C30" s="7"/>
      <c r="D30" s="8"/>
      <c r="E30" s="8"/>
      <c r="F30" s="9" t="str">
        <f aca="false">IF(AND(D30="",E30=""),"",IF(OR(D30="",E30=""),"",E30-D30))</f>
        <v/>
      </c>
      <c r="G30" s="7"/>
      <c r="H30" s="7"/>
      <c r="I30" s="7"/>
    </row>
    <row r="31" customFormat="false" ht="15" hidden="false" customHeight="false" outlineLevel="0" collapsed="false">
      <c r="A31" s="10"/>
      <c r="B31" s="10"/>
      <c r="C31" s="10"/>
      <c r="D31" s="11"/>
      <c r="E31" s="11"/>
      <c r="F31" s="12" t="str">
        <f aca="false">IF(AND(D31="",E31=""),"",IF(OR(D31="",E31=""),"",E31-D31))</f>
        <v/>
      </c>
      <c r="G31" s="10"/>
      <c r="H31" s="10"/>
      <c r="I31" s="10"/>
    </row>
    <row r="32" customFormat="false" ht="15" hidden="false" customHeight="false" outlineLevel="0" collapsed="false">
      <c r="A32" s="7"/>
      <c r="B32" s="7"/>
      <c r="C32" s="7"/>
      <c r="D32" s="8"/>
      <c r="E32" s="8"/>
      <c r="F32" s="9" t="str">
        <f aca="false">IF(AND(D32="",E32=""),"",IF(OR(D32="",E32=""),"",E32-D32))</f>
        <v/>
      </c>
      <c r="G32" s="7"/>
      <c r="H32" s="7"/>
      <c r="I32" s="7"/>
    </row>
    <row r="33" customFormat="false" ht="15" hidden="false" customHeight="false" outlineLevel="0" collapsed="false">
      <c r="A33" s="10"/>
      <c r="B33" s="10"/>
      <c r="C33" s="10"/>
      <c r="D33" s="11"/>
      <c r="E33" s="11"/>
      <c r="F33" s="12" t="str">
        <f aca="false">IF(AND(D33="",E33=""),"",IF(OR(D33="",E33=""),"",E33-D33))</f>
        <v/>
      </c>
      <c r="G33" s="10"/>
      <c r="H33" s="10"/>
      <c r="I33" s="10"/>
    </row>
    <row r="34" customFormat="false" ht="15" hidden="false" customHeight="false" outlineLevel="0" collapsed="false">
      <c r="A34" s="7"/>
      <c r="B34" s="7"/>
      <c r="C34" s="7"/>
      <c r="D34" s="8"/>
      <c r="E34" s="8"/>
      <c r="F34" s="9" t="str">
        <f aca="false">IF(AND(D34="",E34=""),"",IF(OR(D34="",E34=""),"",E34-D34))</f>
        <v/>
      </c>
      <c r="G34" s="7"/>
      <c r="H34" s="7"/>
      <c r="I34" s="7"/>
    </row>
    <row r="35" customFormat="false" ht="15" hidden="false" customHeight="false" outlineLevel="0" collapsed="false">
      <c r="A35" s="10"/>
      <c r="B35" s="10"/>
      <c r="C35" s="10"/>
      <c r="D35" s="11"/>
      <c r="E35" s="11"/>
      <c r="F35" s="12" t="str">
        <f aca="false">IF(AND(D35="",E35=""),"",IF(OR(D35="",E35=""),"",E35-D35))</f>
        <v/>
      </c>
      <c r="G35" s="10"/>
      <c r="H35" s="10"/>
      <c r="I35" s="10"/>
    </row>
    <row r="36" customFormat="false" ht="15" hidden="false" customHeight="false" outlineLevel="0" collapsed="false">
      <c r="A36" s="7"/>
      <c r="B36" s="7"/>
      <c r="C36" s="7"/>
      <c r="D36" s="8"/>
      <c r="E36" s="8"/>
      <c r="F36" s="9" t="str">
        <f aca="false">IF(AND(D36="",E36=""),"",IF(OR(D36="",E36=""),"",E36-D36))</f>
        <v/>
      </c>
      <c r="G36" s="7"/>
      <c r="H36" s="7"/>
      <c r="I36" s="7"/>
    </row>
    <row r="37" customFormat="false" ht="15" hidden="false" customHeight="false" outlineLevel="0" collapsed="false">
      <c r="A37" s="10"/>
      <c r="B37" s="10"/>
      <c r="C37" s="10"/>
      <c r="D37" s="11"/>
      <c r="E37" s="11"/>
      <c r="F37" s="12" t="str">
        <f aca="false">IF(AND(D37="",E37=""),"",IF(OR(D37="",E37=""),"",E37-D37))</f>
        <v/>
      </c>
      <c r="G37" s="10"/>
      <c r="H37" s="10"/>
      <c r="I37" s="10"/>
    </row>
    <row r="38" customFormat="false" ht="15" hidden="false" customHeight="false" outlineLevel="0" collapsed="false">
      <c r="A38" s="7"/>
      <c r="B38" s="7"/>
      <c r="C38" s="7"/>
      <c r="D38" s="8"/>
      <c r="E38" s="8"/>
      <c r="F38" s="9" t="str">
        <f aca="false">IF(AND(D38="",E38=""),"",IF(OR(D38="",E38=""),"",E38-D38))</f>
        <v/>
      </c>
      <c r="G38" s="7"/>
      <c r="H38" s="7"/>
      <c r="I38" s="7"/>
    </row>
    <row r="39" customFormat="false" ht="15" hidden="false" customHeight="false" outlineLevel="0" collapsed="false">
      <c r="A39" s="10"/>
      <c r="B39" s="10"/>
      <c r="C39" s="10"/>
      <c r="D39" s="11"/>
      <c r="E39" s="11"/>
      <c r="F39" s="12" t="str">
        <f aca="false">IF(AND(D39="",E39=""),"",IF(OR(D39="",E39=""),"",E39-D39))</f>
        <v/>
      </c>
      <c r="G39" s="10"/>
      <c r="H39" s="10"/>
      <c r="I39" s="10"/>
    </row>
    <row r="40" customFormat="false" ht="15" hidden="false" customHeight="false" outlineLevel="0" collapsed="false">
      <c r="A40" s="7"/>
      <c r="B40" s="7"/>
      <c r="C40" s="7"/>
      <c r="D40" s="8"/>
      <c r="E40" s="8"/>
      <c r="F40" s="9" t="str">
        <f aca="false">IF(AND(D40="",E40=""),"",IF(OR(D40="",E40=""),"",E40-D40))</f>
        <v/>
      </c>
      <c r="G40" s="7"/>
      <c r="H40" s="7"/>
      <c r="I40" s="7"/>
    </row>
    <row r="41" customFormat="false" ht="15" hidden="false" customHeight="false" outlineLevel="0" collapsed="false">
      <c r="A41" s="10"/>
      <c r="B41" s="10"/>
      <c r="C41" s="10"/>
      <c r="D41" s="11"/>
      <c r="E41" s="11"/>
      <c r="F41" s="12" t="str">
        <f aca="false">IF(AND(D41="",E41=""),"",IF(OR(D41="",E41=""),"",E41-D41))</f>
        <v/>
      </c>
      <c r="G41" s="10"/>
      <c r="H41" s="10"/>
      <c r="I41" s="10"/>
    </row>
    <row r="42" customFormat="false" ht="15" hidden="false" customHeight="false" outlineLevel="0" collapsed="false">
      <c r="A42" s="7"/>
      <c r="B42" s="7"/>
      <c r="C42" s="7"/>
      <c r="D42" s="8"/>
      <c r="E42" s="8"/>
      <c r="F42" s="9" t="str">
        <f aca="false">IF(AND(D42="",E42=""),"",IF(OR(D42="",E42=""),"",E42-D42))</f>
        <v/>
      </c>
      <c r="G42" s="7"/>
      <c r="H42" s="7"/>
      <c r="I42" s="7"/>
    </row>
    <row r="43" customFormat="false" ht="15" hidden="false" customHeight="false" outlineLevel="0" collapsed="false">
      <c r="A43" s="10"/>
      <c r="B43" s="10"/>
      <c r="C43" s="10"/>
      <c r="D43" s="11"/>
      <c r="E43" s="11"/>
      <c r="F43" s="12" t="str">
        <f aca="false">IF(AND(D43="",E43=""),"",IF(OR(D43="",E43=""),"",E43-D43))</f>
        <v/>
      </c>
      <c r="G43" s="10"/>
      <c r="H43" s="10"/>
      <c r="I43" s="10"/>
    </row>
    <row r="44" customFormat="false" ht="15" hidden="false" customHeight="false" outlineLevel="0" collapsed="false">
      <c r="A44" s="7"/>
      <c r="B44" s="7"/>
      <c r="C44" s="7"/>
      <c r="D44" s="8"/>
      <c r="E44" s="8"/>
      <c r="F44" s="9" t="str">
        <f aca="false">IF(AND(D44="",E44=""),"",IF(OR(D44="",E44=""),"",E44-D44))</f>
        <v/>
      </c>
      <c r="G44" s="7"/>
      <c r="H44" s="7"/>
      <c r="I44" s="7"/>
    </row>
    <row r="46" customFormat="false" ht="15" hidden="false" customHeight="false" outlineLevel="0" collapsed="false">
      <c r="A46" s="13" t="s">
        <v>17</v>
      </c>
      <c r="B46" s="13"/>
      <c r="C46" s="13"/>
      <c r="D46" s="13"/>
    </row>
    <row r="47" customFormat="false" ht="15" hidden="false" customHeight="false" outlineLevel="0" collapsed="false">
      <c r="A47" s="3" t="s">
        <v>2</v>
      </c>
      <c r="B47" s="3" t="s">
        <v>18</v>
      </c>
      <c r="C47" s="3" t="s">
        <v>19</v>
      </c>
      <c r="D47" s="3" t="s">
        <v>20</v>
      </c>
    </row>
    <row r="48" customFormat="false" ht="15" hidden="false" customHeight="false" outlineLevel="0" collapsed="false">
      <c r="A48" s="14" t="s">
        <v>11</v>
      </c>
      <c r="B48" s="12" t="n">
        <f aca="false">SUMIF($A$5:$A$44,A48,$D$5:$D$44)</f>
        <v>1450</v>
      </c>
      <c r="C48" s="12" t="n">
        <f aca="false">SUMIF($A$5:$A$44,A48,$E$5:$E$44)</f>
        <v>1512</v>
      </c>
      <c r="D48" s="12" t="n">
        <f aca="false">C48-B48</f>
        <v>62</v>
      </c>
    </row>
    <row r="49" customFormat="false" ht="15" hidden="false" customHeight="false" outlineLevel="0" collapsed="false">
      <c r="A49" s="15" t="s">
        <v>21</v>
      </c>
      <c r="B49" s="9" t="n">
        <f aca="false">SUMIF($A$5:$A$44,A49,$D$5:$D$44)</f>
        <v>0</v>
      </c>
      <c r="C49" s="9" t="n">
        <f aca="false">SUMIF($A$5:$A$44,A49,$E$5:$E$44)</f>
        <v>0</v>
      </c>
      <c r="D49" s="9" t="n">
        <f aca="false">C49-B49</f>
        <v>0</v>
      </c>
    </row>
    <row r="50" customFormat="false" ht="15" hidden="false" customHeight="false" outlineLevel="0" collapsed="false">
      <c r="A50" s="14" t="s">
        <v>22</v>
      </c>
      <c r="B50" s="12" t="n">
        <f aca="false">SUMIF($A$5:$A$44,A50,$D$5:$D$44)</f>
        <v>0</v>
      </c>
      <c r="C50" s="12" t="n">
        <f aca="false">SUMIF($A$5:$A$44,A50,$E$5:$E$44)</f>
        <v>0</v>
      </c>
      <c r="D50" s="12" t="n">
        <f aca="false">C50-B50</f>
        <v>0</v>
      </c>
    </row>
    <row r="51" customFormat="false" ht="15" hidden="false" customHeight="false" outlineLevel="0" collapsed="false">
      <c r="A51" s="15" t="s">
        <v>23</v>
      </c>
      <c r="B51" s="9" t="n">
        <f aca="false">SUMIF($A$5:$A$44,A51,$D$5:$D$44)</f>
        <v>0</v>
      </c>
      <c r="C51" s="9" t="n">
        <f aca="false">SUMIF($A$5:$A$44,A51,$E$5:$E$44)</f>
        <v>0</v>
      </c>
      <c r="D51" s="9" t="n">
        <f aca="false">C51-B51</f>
        <v>0</v>
      </c>
    </row>
    <row r="52" customFormat="false" ht="15" hidden="false" customHeight="false" outlineLevel="0" collapsed="false">
      <c r="A52" s="14" t="s">
        <v>24</v>
      </c>
      <c r="B52" s="12" t="n">
        <f aca="false">SUMIF($A$5:$A$44,A52,$D$5:$D$44)</f>
        <v>0</v>
      </c>
      <c r="C52" s="12" t="n">
        <f aca="false">SUMIF($A$5:$A$44,A52,$E$5:$E$44)</f>
        <v>0</v>
      </c>
      <c r="D52" s="12" t="n">
        <f aca="false">C52-B52</f>
        <v>0</v>
      </c>
    </row>
    <row r="53" customFormat="false" ht="15" hidden="false" customHeight="false" outlineLevel="0" collapsed="false">
      <c r="A53" s="15" t="s">
        <v>25</v>
      </c>
      <c r="B53" s="9" t="n">
        <f aca="false">SUMIF($A$5:$A$44,A53,$D$5:$D$44)</f>
        <v>0</v>
      </c>
      <c r="C53" s="9" t="n">
        <f aca="false">SUMIF($A$5:$A$44,A53,$E$5:$E$44)</f>
        <v>0</v>
      </c>
      <c r="D53" s="9" t="n">
        <f aca="false">C53-B53</f>
        <v>0</v>
      </c>
    </row>
    <row r="54" customFormat="false" ht="15" hidden="false" customHeight="false" outlineLevel="0" collapsed="false">
      <c r="A54" s="14" t="s">
        <v>26</v>
      </c>
      <c r="B54" s="12" t="n">
        <f aca="false">SUMIF($A$5:$A$44,A54,$D$5:$D$44)</f>
        <v>0</v>
      </c>
      <c r="C54" s="12" t="n">
        <f aca="false">SUMIF($A$5:$A$44,A54,$E$5:$E$44)</f>
        <v>0</v>
      </c>
      <c r="D54" s="12" t="n">
        <f aca="false">C54-B54</f>
        <v>0</v>
      </c>
    </row>
    <row r="55" customFormat="false" ht="15" hidden="false" customHeight="false" outlineLevel="0" collapsed="false">
      <c r="A55" s="16" t="s">
        <v>27</v>
      </c>
      <c r="B55" s="17" t="n">
        <f aca="false">SUM(B48:B54)</f>
        <v>1450</v>
      </c>
      <c r="C55" s="17" t="n">
        <f aca="false">SUM(C48:C54)</f>
        <v>1512</v>
      </c>
      <c r="D55" s="17" t="n">
        <f aca="false">C55-B55</f>
        <v>62</v>
      </c>
    </row>
  </sheetData>
  <autoFilter ref="A4:I44"/>
  <mergeCells count="3">
    <mergeCell ref="A1:I1"/>
    <mergeCell ref="A2:I2"/>
    <mergeCell ref="A46:D46"/>
  </mergeCells>
  <dataValidations count="1">
    <dataValidation allowBlank="true" errorStyle="stop" operator="between" showDropDown="false" showErrorMessage="false" showInputMessage="false" sqref="A5:A44" type="list">
      <formula1>"Undertray,Front Wing,Rear Wing,Diffuser,Endplates / Winglets,Mounting &amp; Hardware,Other"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2026-07-15T17:46:32Z</dcterms:created>
  <dc:creator>openpyxl</dc:creator>
  <dc:description/>
  <dc:language>en-US</dc:language>
  <cp:lastModifiedBy/>
  <dcterms:modified xsi:type="dcterms:W3CDTF">2026-07-15T17:46:32Z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