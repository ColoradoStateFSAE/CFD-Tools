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D Run Log" sheetId="1" state="visible" r:id="rId3"/>
  </sheets>
  <definedNames>
    <definedName function="false" hidden="true" localSheetId="0" name="_xlnm._FilterDatabase" vbProcedure="false">'CFD Run Log'!$A$4:$U$34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<sst xmlns="http://schemas.openxmlformats.org/spreadsheetml/2006/main" count="34" uniqueCount="34">
  <si>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RAMRACING FORMULA SAE — CFD RUN LOG</t>
  </si>
  <si>
    <t xml:space="preserve">Legend:  Blue text = you fill in   |   Black text = calculated automatically   |   Row 5 is an example — overwrite or delete it.</t>
  </si>
  <si>
    <t xml:space="preserve">Run ID</t>
  </si>
  <si>
    <t xml:space="preserve">Date</t>
  </si>
  <si>
    <t xml:space="preserve">Engineer</t>
  </si>
  <si>
    <t xml:space="preserve">Design Type</t>
  </si>
  <si>
    <t xml:space="preserve">Version</t>
  </si>
  <si>
    <t xml:space="preserve">Case Description</t>
  </si>
  <si>
    <t xml:space="preserve">Mesh Cells (M)</t>
  </si>
  <si>
    <t xml:space="preserve">y+ Target</t>
  </si>
  <si>
    <t xml:space="preserve">y+ Actual</t>
  </si>
  <si>
    <t xml:space="preserve">y+ Delta</t>
  </si>
  <si>
    <t xml:space="preserve">Turbulence Model</t>
  </si>
  <si>
    <t xml:space="preserve">Solver Settings</t>
  </si>
  <si>
    <t xml:space="preserve">Convergence (Residual / Iter)</t>
  </si>
  <si>
    <t xml:space="preserve">Wall-Clock (hr)</t>
  </si>
  <si>
    <t xml:space="preserve">Hardware</t>
  </si>
  <si>
    <t xml:space="preserve">Predicted AER</t>
  </si>
  <si>
    <t xml:space="preserve">Predicted Cl</t>
  </si>
  <si>
    <t xml:space="preserve">Predicted Cd</t>
  </si>
  <si>
    <t xml:space="preserve">L/D</t>
  </si>
  <si>
    <t xml:space="preserve">Downforce (lbf)</t>
  </si>
  <si>
    <t xml:space="preserve">Notes / Correlation to Physical Test</t>
  </si>
  <si>
    <t xml:space="preserve">CFD-041</t>
  </si>
  <si>
    <t xml:space="preserve">2026-03-02</t>
  </si>
  <si>
    <t xml:space="preserve">J. Hayes</t>
  </si>
  <si>
    <t xml:space="preserve">B</t>
  </si>
  <si>
    <t xml:space="preserve">4.5.3</t>
  </si>
  <si>
    <t xml:space="preserve">Steady-state cornering, 15deg yaw, undertray V4.5.3</t>
  </si>
  <si>
    <t xml:space="preserve">GEKO</t>
  </si>
  <si>
    <t xml:space="preserve">Coupled, 2nd order, k-w GEKO</t>
  </si>
  <si>
    <t xml:space="preserve">1e-4 / 2200 iter</t>
  </si>
  <si>
    <t xml:space="preserve">ramracing-ic (64c/256GB)</t>
  </si>
  <si>
    <t xml:space="preserve">Slightly under-predicts vs coast-down test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</si>
</sst>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0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757575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8.5"/>
      <color rgb="FF000000"/>
      <name val="Arial"/>
      <family val="0"/>
      <charset val="1"/>
    </font>
    <font>
      <sz val="8.5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E8EE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4B8"/>
      </left>
      <right style="thin">
        <color rgb="FFB0B4B8"/>
      </right>
      <top style="thin">
        <color rgb="FFB0B4B8"/>
      </top>
      <bottom style="thin">
        <color rgb="FFB0B4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4D2B"/>
          <bgColor rgb="FF000000"/>
        </patternFill>
      </fill>
    </dxf>
    <dxf>
      <fill>
        <patternFill patternType="solid">
          <fgColor rgb="FFE8EE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4B8"/>
      <rgbColor rgb="FF757575"/>
      <rgbColor rgb="FF9999FF"/>
      <rgbColor rgb="FF993366"/>
      <rgbColor rgb="FFE8EE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10" min="8" style="0" width="9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1" min="21" style="0" width="3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5" t="n">
        <v>42.5</v>
      </c>
      <c r="H5" s="5" t="n">
        <v>1</v>
      </c>
      <c r="I5" s="5" t="n">
        <v>1.3</v>
      </c>
      <c r="J5" s="6" t="n">
        <f aca="false">IF(OR(H5="",I5=""),"",ABS(I5-H5))</f>
        <v>0.3</v>
      </c>
      <c r="K5" s="4" t="s">
        <v>29</v>
      </c>
      <c r="L5" s="4" t="s">
        <v>30</v>
      </c>
      <c r="M5" s="4" t="s">
        <v>31</v>
      </c>
      <c r="N5" s="5" t="n">
        <v>6.5</v>
      </c>
      <c r="O5" s="4" t="s">
        <v>32</v>
      </c>
      <c r="P5" s="7" t="n">
        <v>11.02</v>
      </c>
      <c r="Q5" s="8" t="n">
        <v>2.14</v>
      </c>
      <c r="R5" s="8" t="n">
        <v>0.87</v>
      </c>
      <c r="S5" s="9" t="n">
        <f aca="false">IFERROR(IF(OR(Q5="",R5="",R5=0),"",Q5/R5),"")</f>
        <v>2.45977011494253</v>
      </c>
      <c r="T5" s="10" t="n">
        <v>187</v>
      </c>
      <c r="U5" s="4" t="s">
        <v>33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2"/>
      <c r="H6" s="12"/>
      <c r="I6" s="12"/>
      <c r="J6" s="13" t="str">
        <f aca="false">IF(OR(H6="",I6=""),"",ABS(I6-H6))</f>
        <v/>
      </c>
      <c r="K6" s="11"/>
      <c r="L6" s="11"/>
      <c r="M6" s="11"/>
      <c r="N6" s="12"/>
      <c r="O6" s="11"/>
      <c r="P6" s="14"/>
      <c r="Q6" s="15"/>
      <c r="R6" s="15"/>
      <c r="S6" s="16" t="str">
        <f aca="false">IFERROR(IF(OR(Q6="",R6="",R6=0),"",Q6/R6),"")</f>
        <v/>
      </c>
      <c r="T6" s="17"/>
      <c r="U6" s="11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9"/>
      <c r="H7" s="19"/>
      <c r="I7" s="19"/>
      <c r="J7" s="6" t="str">
        <f aca="false">IF(OR(H7="",I7=""),"",ABS(I7-H7))</f>
        <v/>
      </c>
      <c r="K7" s="18"/>
      <c r="L7" s="18"/>
      <c r="M7" s="18"/>
      <c r="N7" s="19"/>
      <c r="O7" s="18"/>
      <c r="P7" s="20"/>
      <c r="Q7" s="21"/>
      <c r="R7" s="21"/>
      <c r="S7" s="9" t="str">
        <f aca="false">IFERROR(IF(OR(Q7="",R7="",R7=0),"",Q7/R7),"")</f>
        <v/>
      </c>
      <c r="T7" s="22"/>
      <c r="U7" s="18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2"/>
      <c r="H8" s="12"/>
      <c r="I8" s="12"/>
      <c r="J8" s="13" t="str">
        <f aca="false">IF(OR(H8="",I8=""),"",ABS(I8-H8))</f>
        <v/>
      </c>
      <c r="K8" s="11"/>
      <c r="L8" s="11"/>
      <c r="M8" s="11"/>
      <c r="N8" s="12"/>
      <c r="O8" s="11"/>
      <c r="P8" s="14"/>
      <c r="Q8" s="15"/>
      <c r="R8" s="15"/>
      <c r="S8" s="16" t="str">
        <f aca="false">IFERROR(IF(OR(Q8="",R8="",R8=0),"",Q8/R8),"")</f>
        <v/>
      </c>
      <c r="T8" s="17"/>
      <c r="U8" s="11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9"/>
      <c r="H9" s="19"/>
      <c r="I9" s="19"/>
      <c r="J9" s="6" t="str">
        <f aca="false">IF(OR(H9="",I9=""),"",ABS(I9-H9))</f>
        <v/>
      </c>
      <c r="K9" s="18"/>
      <c r="L9" s="18"/>
      <c r="M9" s="18"/>
      <c r="N9" s="19"/>
      <c r="O9" s="18"/>
      <c r="P9" s="20"/>
      <c r="Q9" s="21"/>
      <c r="R9" s="21"/>
      <c r="S9" s="9" t="str">
        <f aca="false">IFERROR(IF(OR(Q9="",R9="",R9=0),"",Q9/R9),"")</f>
        <v/>
      </c>
      <c r="T9" s="22"/>
      <c r="U9" s="18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2"/>
      <c r="H10" s="12"/>
      <c r="I10" s="12"/>
      <c r="J10" s="13" t="str">
        <f aca="false">IF(OR(H10="",I10=""),"",ABS(I10-H10))</f>
        <v/>
      </c>
      <c r="K10" s="11"/>
      <c r="L10" s="11"/>
      <c r="M10" s="11"/>
      <c r="N10" s="12"/>
      <c r="O10" s="11"/>
      <c r="P10" s="14"/>
      <c r="Q10" s="15"/>
      <c r="R10" s="15"/>
      <c r="S10" s="16" t="str">
        <f aca="false">IFERROR(IF(OR(Q10="",R10="",R10=0),"",Q10/R10),"")</f>
        <v/>
      </c>
      <c r="T10" s="17"/>
      <c r="U10" s="11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9"/>
      <c r="H11" s="19"/>
      <c r="I11" s="19"/>
      <c r="J11" s="6" t="str">
        <f aca="false">IF(OR(H11="",I11=""),"",ABS(I11-H11))</f>
        <v/>
      </c>
      <c r="K11" s="18"/>
      <c r="L11" s="18"/>
      <c r="M11" s="18"/>
      <c r="N11" s="19"/>
      <c r="O11" s="18"/>
      <c r="P11" s="20"/>
      <c r="Q11" s="21"/>
      <c r="R11" s="21"/>
      <c r="S11" s="9" t="str">
        <f aca="false">IFERROR(IF(OR(Q11="",R11="",R11=0),"",Q11/R11),"")</f>
        <v/>
      </c>
      <c r="T11" s="22"/>
      <c r="U11" s="18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2"/>
      <c r="H12" s="12"/>
      <c r="I12" s="12"/>
      <c r="J12" s="13" t="str">
        <f aca="false">IF(OR(H12="",I12=""),"",ABS(I12-H12))</f>
        <v/>
      </c>
      <c r="K12" s="11"/>
      <c r="L12" s="11"/>
      <c r="M12" s="11"/>
      <c r="N12" s="12"/>
      <c r="O12" s="11"/>
      <c r="P12" s="14"/>
      <c r="Q12" s="15"/>
      <c r="R12" s="15"/>
      <c r="S12" s="16" t="str">
        <f aca="false">IFERROR(IF(OR(Q12="",R12="",R12=0),"",Q12/R12),"")</f>
        <v/>
      </c>
      <c r="T12" s="17"/>
      <c r="U12" s="11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9"/>
      <c r="H13" s="19"/>
      <c r="I13" s="19"/>
      <c r="J13" s="6" t="str">
        <f aca="false">IF(OR(H13="",I13=""),"",ABS(I13-H13))</f>
        <v/>
      </c>
      <c r="K13" s="18"/>
      <c r="L13" s="18"/>
      <c r="M13" s="18"/>
      <c r="N13" s="19"/>
      <c r="O13" s="18"/>
      <c r="P13" s="20"/>
      <c r="Q13" s="21"/>
      <c r="R13" s="21"/>
      <c r="S13" s="9" t="str">
        <f aca="false">IFERROR(IF(OR(Q13="",R13="",R13=0),"",Q13/R13),"")</f>
        <v/>
      </c>
      <c r="T13" s="22"/>
      <c r="U13" s="18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2"/>
      <c r="H14" s="12"/>
      <c r="I14" s="12"/>
      <c r="J14" s="13" t="str">
        <f aca="false">IF(OR(H14="",I14=""),"",ABS(I14-H14))</f>
        <v/>
      </c>
      <c r="K14" s="11"/>
      <c r="L14" s="11"/>
      <c r="M14" s="11"/>
      <c r="N14" s="12"/>
      <c r="O14" s="11"/>
      <c r="P14" s="14"/>
      <c r="Q14" s="15"/>
      <c r="R14" s="15"/>
      <c r="S14" s="16" t="str">
        <f aca="false">IFERROR(IF(OR(Q14="",R14="",R14=0),"",Q14/R14),"")</f>
        <v/>
      </c>
      <c r="T14" s="17"/>
      <c r="U14" s="11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9"/>
      <c r="H15" s="19"/>
      <c r="I15" s="19"/>
      <c r="J15" s="6" t="str">
        <f aca="false">IF(OR(H15="",I15=""),"",ABS(I15-H15))</f>
        <v/>
      </c>
      <c r="K15" s="18"/>
      <c r="L15" s="18"/>
      <c r="M15" s="18"/>
      <c r="N15" s="19"/>
      <c r="O15" s="18"/>
      <c r="P15" s="20"/>
      <c r="Q15" s="21"/>
      <c r="R15" s="21"/>
      <c r="S15" s="9" t="str">
        <f aca="false">IFERROR(IF(OR(Q15="",R15="",R15=0),"",Q15/R15),"")</f>
        <v/>
      </c>
      <c r="T15" s="22"/>
      <c r="U15" s="18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2"/>
      <c r="H16" s="12"/>
      <c r="I16" s="12"/>
      <c r="J16" s="13" t="str">
        <f aca="false">IF(OR(H16="",I16=""),"",ABS(I16-H16))</f>
        <v/>
      </c>
      <c r="K16" s="11"/>
      <c r="L16" s="11"/>
      <c r="M16" s="11"/>
      <c r="N16" s="12"/>
      <c r="O16" s="11"/>
      <c r="P16" s="14"/>
      <c r="Q16" s="15"/>
      <c r="R16" s="15"/>
      <c r="S16" s="16" t="str">
        <f aca="false">IFERROR(IF(OR(Q16="",R16="",R16=0),"",Q16/R16),"")</f>
        <v/>
      </c>
      <c r="T16" s="17"/>
      <c r="U16" s="11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9"/>
      <c r="H17" s="19"/>
      <c r="I17" s="19"/>
      <c r="J17" s="6" t="str">
        <f aca="false">IF(OR(H17="",I17=""),"",ABS(I17-H17))</f>
        <v/>
      </c>
      <c r="K17" s="18"/>
      <c r="L17" s="18"/>
      <c r="M17" s="18"/>
      <c r="N17" s="19"/>
      <c r="O17" s="18"/>
      <c r="P17" s="20"/>
      <c r="Q17" s="21"/>
      <c r="R17" s="21"/>
      <c r="S17" s="9" t="str">
        <f aca="false">IFERROR(IF(OR(Q17="",R17="",R17=0),"",Q17/R17),"")</f>
        <v/>
      </c>
      <c r="T17" s="22"/>
      <c r="U17" s="18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2"/>
      <c r="H18" s="12"/>
      <c r="I18" s="12"/>
      <c r="J18" s="13" t="str">
        <f aca="false">IF(OR(H18="",I18=""),"",ABS(I18-H18))</f>
        <v/>
      </c>
      <c r="K18" s="11"/>
      <c r="L18" s="11"/>
      <c r="M18" s="11"/>
      <c r="N18" s="12"/>
      <c r="O18" s="11"/>
      <c r="P18" s="14"/>
      <c r="Q18" s="15"/>
      <c r="R18" s="15"/>
      <c r="S18" s="16" t="str">
        <f aca="false">IFERROR(IF(OR(Q18="",R18="",R18=0),"",Q18/R18),"")</f>
        <v/>
      </c>
      <c r="T18" s="17"/>
      <c r="U18" s="11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9"/>
      <c r="H19" s="19"/>
      <c r="I19" s="19"/>
      <c r="J19" s="6" t="str">
        <f aca="false">IF(OR(H19="",I19=""),"",ABS(I19-H19))</f>
        <v/>
      </c>
      <c r="K19" s="18"/>
      <c r="L19" s="18"/>
      <c r="M19" s="18"/>
      <c r="N19" s="19"/>
      <c r="O19" s="18"/>
      <c r="P19" s="20"/>
      <c r="Q19" s="21"/>
      <c r="R19" s="21"/>
      <c r="S19" s="9" t="str">
        <f aca="false">IFERROR(IF(OR(Q19="",R19="",R19=0),"",Q19/R19),"")</f>
        <v/>
      </c>
      <c r="T19" s="22"/>
      <c r="U19" s="18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2"/>
      <c r="H20" s="12"/>
      <c r="I20" s="12"/>
      <c r="J20" s="13" t="str">
        <f aca="false">IF(OR(H20="",I20=""),"",ABS(I20-H20))</f>
        <v/>
      </c>
      <c r="K20" s="11"/>
      <c r="L20" s="11"/>
      <c r="M20" s="11"/>
      <c r="N20" s="12"/>
      <c r="O20" s="11"/>
      <c r="P20" s="14"/>
      <c r="Q20" s="15"/>
      <c r="R20" s="15"/>
      <c r="S20" s="16" t="str">
        <f aca="false">IFERROR(IF(OR(Q20="",R20="",R20=0),"",Q20/R20),"")</f>
        <v/>
      </c>
      <c r="T20" s="17"/>
      <c r="U20" s="11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9"/>
      <c r="H21" s="19"/>
      <c r="I21" s="19"/>
      <c r="J21" s="6" t="str">
        <f aca="false">IF(OR(H21="",I21=""),"",ABS(I21-H21))</f>
        <v/>
      </c>
      <c r="K21" s="18"/>
      <c r="L21" s="18"/>
      <c r="M21" s="18"/>
      <c r="N21" s="19"/>
      <c r="O21" s="18"/>
      <c r="P21" s="20"/>
      <c r="Q21" s="21"/>
      <c r="R21" s="21"/>
      <c r="S21" s="9" t="str">
        <f aca="false">IFERROR(IF(OR(Q21="",R21="",R21=0),"",Q21/R21),"")</f>
        <v/>
      </c>
      <c r="T21" s="22"/>
      <c r="U21" s="18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2"/>
      <c r="H22" s="12"/>
      <c r="I22" s="12"/>
      <c r="J22" s="13" t="str">
        <f aca="false">IF(OR(H22="",I22=""),"",ABS(I22-H22))</f>
        <v/>
      </c>
      <c r="K22" s="11"/>
      <c r="L22" s="11"/>
      <c r="M22" s="11"/>
      <c r="N22" s="12"/>
      <c r="O22" s="11"/>
      <c r="P22" s="14"/>
      <c r="Q22" s="15"/>
      <c r="R22" s="15"/>
      <c r="S22" s="16" t="str">
        <f aca="false">IFERROR(IF(OR(Q22="",R22="",R22=0),"",Q22/R22),"")</f>
        <v/>
      </c>
      <c r="T22" s="17"/>
      <c r="U22" s="11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9"/>
      <c r="H23" s="19"/>
      <c r="I23" s="19"/>
      <c r="J23" s="6" t="str">
        <f aca="false">IF(OR(H23="",I23=""),"",ABS(I23-H23))</f>
        <v/>
      </c>
      <c r="K23" s="18"/>
      <c r="L23" s="18"/>
      <c r="M23" s="18"/>
      <c r="N23" s="19"/>
      <c r="O23" s="18"/>
      <c r="P23" s="20"/>
      <c r="Q23" s="21"/>
      <c r="R23" s="21"/>
      <c r="S23" s="9" t="str">
        <f aca="false">IFERROR(IF(OR(Q23="",R23="",R23=0),"",Q23/R23),"")</f>
        <v/>
      </c>
      <c r="T23" s="22"/>
      <c r="U23" s="18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2"/>
      <c r="H24" s="12"/>
      <c r="I24" s="12"/>
      <c r="J24" s="13" t="str">
        <f aca="false">IF(OR(H24="",I24=""),"",ABS(I24-H24))</f>
        <v/>
      </c>
      <c r="K24" s="11"/>
      <c r="L24" s="11"/>
      <c r="M24" s="11"/>
      <c r="N24" s="12"/>
      <c r="O24" s="11"/>
      <c r="P24" s="14"/>
      <c r="Q24" s="15"/>
      <c r="R24" s="15"/>
      <c r="S24" s="16" t="str">
        <f aca="false">IFERROR(IF(OR(Q24="",R24="",R24=0),"",Q24/R24),"")</f>
        <v/>
      </c>
      <c r="T24" s="17"/>
      <c r="U24" s="11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9"/>
      <c r="H25" s="19"/>
      <c r="I25" s="19"/>
      <c r="J25" s="6" t="str">
        <f aca="false">IF(OR(H25="",I25=""),"",ABS(I25-H25))</f>
        <v/>
      </c>
      <c r="K25" s="18"/>
      <c r="L25" s="18"/>
      <c r="M25" s="18"/>
      <c r="N25" s="19"/>
      <c r="O25" s="18"/>
      <c r="P25" s="20"/>
      <c r="Q25" s="21"/>
      <c r="R25" s="21"/>
      <c r="S25" s="9" t="str">
        <f aca="false">IFERROR(IF(OR(Q25="",R25="",R25=0),"",Q25/R25),"")</f>
        <v/>
      </c>
      <c r="T25" s="22"/>
      <c r="U25" s="18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2"/>
      <c r="H26" s="12"/>
      <c r="I26" s="12"/>
      <c r="J26" s="13" t="str">
        <f aca="false">IF(OR(H26="",I26=""),"",ABS(I26-H26))</f>
        <v/>
      </c>
      <c r="K26" s="11"/>
      <c r="L26" s="11"/>
      <c r="M26" s="11"/>
      <c r="N26" s="12"/>
      <c r="O26" s="11"/>
      <c r="P26" s="14"/>
      <c r="Q26" s="15"/>
      <c r="R26" s="15"/>
      <c r="S26" s="16" t="str">
        <f aca="false">IFERROR(IF(OR(Q26="",R26="",R26=0),"",Q26/R26),"")</f>
        <v/>
      </c>
      <c r="T26" s="17"/>
      <c r="U26" s="11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9"/>
      <c r="H27" s="19"/>
      <c r="I27" s="19"/>
      <c r="J27" s="6" t="str">
        <f aca="false">IF(OR(H27="",I27=""),"",ABS(I27-H27))</f>
        <v/>
      </c>
      <c r="K27" s="18"/>
      <c r="L27" s="18"/>
      <c r="M27" s="18"/>
      <c r="N27" s="19"/>
      <c r="O27" s="18"/>
      <c r="P27" s="20"/>
      <c r="Q27" s="21"/>
      <c r="R27" s="21"/>
      <c r="S27" s="9" t="str">
        <f aca="false">IFERROR(IF(OR(Q27="",R27="",R27=0),"",Q27/R27),"")</f>
        <v/>
      </c>
      <c r="T27" s="22"/>
      <c r="U27" s="18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2"/>
      <c r="H28" s="12"/>
      <c r="I28" s="12"/>
      <c r="J28" s="13" t="str">
        <f aca="false">IF(OR(H28="",I28=""),"",ABS(I28-H28))</f>
        <v/>
      </c>
      <c r="K28" s="11"/>
      <c r="L28" s="11"/>
      <c r="M28" s="11"/>
      <c r="N28" s="12"/>
      <c r="O28" s="11"/>
      <c r="P28" s="14"/>
      <c r="Q28" s="15"/>
      <c r="R28" s="15"/>
      <c r="S28" s="16" t="str">
        <f aca="false">IFERROR(IF(OR(Q28="",R28="",R28=0),"",Q28/R28),"")</f>
        <v/>
      </c>
      <c r="T28" s="17"/>
      <c r="U28" s="11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9"/>
      <c r="H29" s="19"/>
      <c r="I29" s="19"/>
      <c r="J29" s="6" t="str">
        <f aca="false">IF(OR(H29="",I29=""),"",ABS(I29-H29))</f>
        <v/>
      </c>
      <c r="K29" s="18"/>
      <c r="L29" s="18"/>
      <c r="M29" s="18"/>
      <c r="N29" s="19"/>
      <c r="O29" s="18"/>
      <c r="P29" s="20"/>
      <c r="Q29" s="21"/>
      <c r="R29" s="21"/>
      <c r="S29" s="9" t="str">
        <f aca="false">IFERROR(IF(OR(Q29="",R29="",R29=0),"",Q29/R29),"")</f>
        <v/>
      </c>
      <c r="T29" s="22"/>
      <c r="U29" s="18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2"/>
      <c r="H30" s="12"/>
      <c r="I30" s="12"/>
      <c r="J30" s="13" t="str">
        <f aca="false">IF(OR(H30="",I30=""),"",ABS(I30-H30))</f>
        <v/>
      </c>
      <c r="K30" s="11"/>
      <c r="L30" s="11"/>
      <c r="M30" s="11"/>
      <c r="N30" s="12"/>
      <c r="O30" s="11"/>
      <c r="P30" s="14"/>
      <c r="Q30" s="15"/>
      <c r="R30" s="15"/>
      <c r="S30" s="16" t="str">
        <f aca="false">IFERROR(IF(OR(Q30="",R30="",R30=0),"",Q30/R30),"")</f>
        <v/>
      </c>
      <c r="T30" s="17"/>
      <c r="U30" s="11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9"/>
      <c r="H31" s="19"/>
      <c r="I31" s="19"/>
      <c r="J31" s="6" t="str">
        <f aca="false">IF(OR(H31="",I31=""),"",ABS(I31-H31))</f>
        <v/>
      </c>
      <c r="K31" s="18"/>
      <c r="L31" s="18"/>
      <c r="M31" s="18"/>
      <c r="N31" s="19"/>
      <c r="O31" s="18"/>
      <c r="P31" s="20"/>
      <c r="Q31" s="21"/>
      <c r="R31" s="21"/>
      <c r="S31" s="9" t="str">
        <f aca="false">IFERROR(IF(OR(Q31="",R31="",R31=0),"",Q31/R31),"")</f>
        <v/>
      </c>
      <c r="T31" s="22"/>
      <c r="U31" s="18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2"/>
      <c r="H32" s="12"/>
      <c r="I32" s="12"/>
      <c r="J32" s="13" t="str">
        <f aca="false">IF(OR(H32="",I32=""),"",ABS(I32-H32))</f>
        <v/>
      </c>
      <c r="K32" s="11"/>
      <c r="L32" s="11"/>
      <c r="M32" s="11"/>
      <c r="N32" s="12"/>
      <c r="O32" s="11"/>
      <c r="P32" s="14"/>
      <c r="Q32" s="15"/>
      <c r="R32" s="15"/>
      <c r="S32" s="16" t="str">
        <f aca="false">IFERROR(IF(OR(Q32="",R32="",R32=0),"",Q32/R32),"")</f>
        <v/>
      </c>
      <c r="T32" s="17"/>
      <c r="U32" s="11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9"/>
      <c r="H33" s="19"/>
      <c r="I33" s="19"/>
      <c r="J33" s="6" t="str">
        <f aca="false">IF(OR(H33="",I33=""),"",ABS(I33-H33))</f>
        <v/>
      </c>
      <c r="K33" s="18"/>
      <c r="L33" s="18"/>
      <c r="M33" s="18"/>
      <c r="N33" s="19"/>
      <c r="O33" s="18"/>
      <c r="P33" s="20"/>
      <c r="Q33" s="21"/>
      <c r="R33" s="21"/>
      <c r="S33" s="9" t="str">
        <f aca="false">IFERROR(IF(OR(Q33="",R33="",R33=0),"",Q33/R33),"")</f>
        <v/>
      </c>
      <c r="T33" s="22"/>
      <c r="U33" s="18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2"/>
      <c r="H34" s="12"/>
      <c r="I34" s="12"/>
      <c r="J34" s="13" t="str">
        <f aca="false">IF(OR(H34="",I34=""),"",ABS(I34-H34))</f>
        <v/>
      </c>
      <c r="K34" s="11"/>
      <c r="L34" s="11"/>
      <c r="M34" s="11"/>
      <c r="N34" s="12"/>
      <c r="O34" s="11"/>
      <c r="P34" s="14"/>
      <c r="Q34" s="15"/>
      <c r="R34" s="15"/>
      <c r="S34" s="16" t="str">
        <f aca="false">IFERROR(IF(OR(Q34="",R34="",R34=0),"",Q34/R34),"")</f>
        <v/>
      </c>
      <c r="T34" s="17"/>
      <c r="U34" s="11"/>
    </row>
  </sheetData>
  <autoFilter ref="A4:U34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2026-07-15T17:46:39Z</dcterms:created>
  <dc:creator>openpyxl</dc:creator>
  <dc:description/>
  <dc:language>en-US</dc:language>
  <cp:lastModifiedBy/>
  <dcterms:modified xsi:type="dcterms:W3CDTF">2026-07-15T17:46:39Z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